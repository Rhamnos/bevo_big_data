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f1365098fed7f1/Desktop/UT/Courses/Fall26/ECO_395M_Python_Databases_and_BigData/"/>
    </mc:Choice>
  </mc:AlternateContent>
  <xr:revisionPtr revIDLastSave="26" documentId="8_{7F33A215-3B5F-4111-A78E-1212620B803A}" xr6:coauthVersionLast="47" xr6:coauthVersionMax="47" xr10:uidLastSave="{AC2C5E70-CC04-43CB-AA4F-E99F440E5E87}"/>
  <bookViews>
    <workbookView xWindow="-108" yWindow="-108" windowWidth="23256" windowHeight="13896" activeTab="1" xr2:uid="{D7FE8A26-40EF-4A5D-AA44-3FC27D41C308}"/>
  </bookViews>
  <sheets>
    <sheet name="Accidents Data" sheetId="1" r:id="rId1"/>
    <sheet name="Operational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1" i="1" l="1"/>
  <c r="C19" i="1"/>
  <c r="C28" i="1"/>
  <c r="C29" i="1"/>
  <c r="C30" i="1"/>
  <c r="C31" i="1"/>
  <c r="C32" i="1"/>
  <c r="C33" i="1"/>
  <c r="C34" i="1"/>
  <c r="C35" i="1"/>
  <c r="C37" i="1"/>
  <c r="C38" i="1"/>
  <c r="C39" i="1"/>
  <c r="C43" i="1"/>
  <c r="C45" i="1"/>
  <c r="C47" i="1"/>
  <c r="C48" i="1"/>
  <c r="C49" i="1"/>
  <c r="C50" i="1"/>
  <c r="C51" i="1"/>
  <c r="C52" i="1"/>
  <c r="C54" i="1"/>
  <c r="C55" i="1"/>
  <c r="C56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9" i="1"/>
  <c r="C103" i="1"/>
  <c r="C104" i="1"/>
  <c r="C105" i="1"/>
  <c r="C106" i="1"/>
  <c r="C107" i="1"/>
  <c r="C108" i="1"/>
  <c r="C109" i="1"/>
  <c r="C110" i="1"/>
  <c r="C112" i="1"/>
  <c r="C113" i="1"/>
  <c r="C114" i="1"/>
  <c r="C115" i="1"/>
  <c r="C120" i="1"/>
  <c r="C121" i="1"/>
  <c r="C122" i="1"/>
  <c r="C123" i="1"/>
  <c r="C124" i="1"/>
  <c r="C125" i="1"/>
  <c r="C126" i="1"/>
  <c r="C127" i="1"/>
  <c r="C130" i="1"/>
  <c r="C131" i="1"/>
  <c r="C132" i="1"/>
  <c r="C133" i="1"/>
  <c r="C137" i="1"/>
  <c r="C138" i="1"/>
  <c r="C139" i="1"/>
  <c r="C141" i="1"/>
  <c r="C142" i="1"/>
  <c r="C143" i="1"/>
  <c r="C145" i="1"/>
  <c r="C146" i="1"/>
  <c r="C147" i="1"/>
  <c r="C148" i="1"/>
  <c r="C149" i="1"/>
  <c r="C150" i="1"/>
  <c r="C151" i="1"/>
  <c r="C152" i="1"/>
  <c r="C153" i="1"/>
  <c r="C154" i="1"/>
  <c r="C155" i="1"/>
</calcChain>
</file>

<file path=xl/sharedStrings.xml><?xml version="1.0" encoding="utf-8"?>
<sst xmlns="http://schemas.openxmlformats.org/spreadsheetml/2006/main" count="388" uniqueCount="225">
  <si>
    <t>Reporting Railroad Code</t>
  </si>
  <si>
    <t>Reporting Railroad Name</t>
  </si>
  <si>
    <t>Year</t>
  </si>
  <si>
    <t>Accident Number</t>
  </si>
  <si>
    <t>PDF Link</t>
  </si>
  <si>
    <t>Accident Year</t>
  </si>
  <si>
    <t>Accident Month</t>
  </si>
  <si>
    <t>Other Railroad Code</t>
  </si>
  <si>
    <t>Other Railroad Name</t>
  </si>
  <si>
    <t>Other Accident Number</t>
  </si>
  <si>
    <t>Other Accident Year</t>
  </si>
  <si>
    <t>Other Accident Month</t>
  </si>
  <si>
    <t>Maintenance Railroad Code</t>
  </si>
  <si>
    <t>Maintenance Railroad Name</t>
  </si>
  <si>
    <t>Maintenance Accident Number</t>
  </si>
  <si>
    <t>Maintenance Accident Year</t>
  </si>
  <si>
    <t>Maintenance Accident Month</t>
  </si>
  <si>
    <t>Grade Crossing ID</t>
  </si>
  <si>
    <t>Day</t>
  </si>
  <si>
    <t>Date</t>
  </si>
  <si>
    <t>Time</t>
  </si>
  <si>
    <t>Accident Type Code</t>
  </si>
  <si>
    <t>Accident Type</t>
  </si>
  <si>
    <t>Hazmat Cars</t>
  </si>
  <si>
    <t>Hazmat Cars Damaged</t>
  </si>
  <si>
    <t>Hazmat Released Cars</t>
  </si>
  <si>
    <t>Persons Evacuated</t>
  </si>
  <si>
    <t>Subdivision</t>
  </si>
  <si>
    <t>Division Code</t>
  </si>
  <si>
    <t>Division</t>
  </si>
  <si>
    <t>Station</t>
  </si>
  <si>
    <t>Milepost</t>
  </si>
  <si>
    <t>State Code</t>
  </si>
  <si>
    <t>State Abbreviation</t>
  </si>
  <si>
    <t>State Name</t>
  </si>
  <si>
    <t>County Code</t>
  </si>
  <si>
    <t>County Name</t>
  </si>
  <si>
    <t>District</t>
  </si>
  <si>
    <t>Temperature</t>
  </si>
  <si>
    <t>Visibility Code</t>
  </si>
  <si>
    <t>Visibility</t>
  </si>
  <si>
    <t>Weather Condition Code</t>
  </si>
  <si>
    <t>Weather Condition</t>
  </si>
  <si>
    <t>Track Type Code</t>
  </si>
  <si>
    <t>Track Type</t>
  </si>
  <si>
    <t>Track Name</t>
  </si>
  <si>
    <t>Track Class</t>
  </si>
  <si>
    <t>Track Density</t>
  </si>
  <si>
    <t>Train Direction Code</t>
  </si>
  <si>
    <t>Train Direction</t>
  </si>
  <si>
    <t>Equipment Type Code</t>
  </si>
  <si>
    <t>Equipment Type</t>
  </si>
  <si>
    <t>Equipment Attended</t>
  </si>
  <si>
    <t>Train Number</t>
  </si>
  <si>
    <t>Train Speed</t>
  </si>
  <si>
    <t>Recorded Estimated Speed</t>
  </si>
  <si>
    <t>Maximum Speed</t>
  </si>
  <si>
    <t>Gross Tonnage</t>
  </si>
  <si>
    <t>Signalization Code</t>
  </si>
  <si>
    <t>Signalization</t>
  </si>
  <si>
    <t>Method of Operation Code</t>
  </si>
  <si>
    <t>Method of Operation</t>
  </si>
  <si>
    <t>Adjunct Code 1</t>
  </si>
  <si>
    <t>Adjunct Name 1</t>
  </si>
  <si>
    <t>Adjunct Code 2</t>
  </si>
  <si>
    <t>Adjunct Name 2</t>
  </si>
  <si>
    <t>Adjunct Code 3</t>
  </si>
  <si>
    <t>Adjunct Name 3</t>
  </si>
  <si>
    <t>Remote Control Locomotive Code</t>
  </si>
  <si>
    <t>Remote Control Locomotive</t>
  </si>
  <si>
    <t>First Car Initials</t>
  </si>
  <si>
    <t>First Car Number</t>
  </si>
  <si>
    <t>First Car Position</t>
  </si>
  <si>
    <t>First Car Loaded</t>
  </si>
  <si>
    <t>Causing Car Initials</t>
  </si>
  <si>
    <t>Causing Car Number</t>
  </si>
  <si>
    <t>Causing Car Position</t>
  </si>
  <si>
    <t>Causing Car Loaded</t>
  </si>
  <si>
    <t>Positive Alcohol Tests</t>
  </si>
  <si>
    <t>Positive Drug Tests</t>
  </si>
  <si>
    <t>Passengers Transported</t>
  </si>
  <si>
    <t>Head End Locomotives</t>
  </si>
  <si>
    <t>Mid Train Manual Locomotives</t>
  </si>
  <si>
    <t>Mid Train Remote Locomotives</t>
  </si>
  <si>
    <t>Rear End Manual Locomotives</t>
  </si>
  <si>
    <t>Rear End Remote Locomotives</t>
  </si>
  <si>
    <t>Derailed Head End Locomotives</t>
  </si>
  <si>
    <t>Derailed Mid Train Manual Locomotives</t>
  </si>
  <si>
    <t>Derailed Mid Train Remote Locomotives</t>
  </si>
  <si>
    <t>Derailed Rear End Manual Locomotives</t>
  </si>
  <si>
    <t>Derailed Rear End Remote Locomotives</t>
  </si>
  <si>
    <t>Loaded Freight Cars</t>
  </si>
  <si>
    <t>Loaded Passenger Cars</t>
  </si>
  <si>
    <t>Empty Freight Cars</t>
  </si>
  <si>
    <t>Empty Passenger Cars</t>
  </si>
  <si>
    <t>Cabooses</t>
  </si>
  <si>
    <t>Derailed Loaded Freight Cars</t>
  </si>
  <si>
    <t>Derailed Loaded Passenger Cars</t>
  </si>
  <si>
    <t>Derailed Empty Freight Cars</t>
  </si>
  <si>
    <t>Derailed Empty Passenger Cars</t>
  </si>
  <si>
    <t>Derailed Cabooses</t>
  </si>
  <si>
    <t>Equipment Damage Cost</t>
  </si>
  <si>
    <t>Track Damage Cost</t>
  </si>
  <si>
    <t>Total Damage Cost</t>
  </si>
  <si>
    <t>Primary Accident Cause Code</t>
  </si>
  <si>
    <t>Primary Accident Cause</t>
  </si>
  <si>
    <t>Contributing Accident Cause Code</t>
  </si>
  <si>
    <t>Contributing Accident Cause</t>
  </si>
  <si>
    <t>Accident Cause Code</t>
  </si>
  <si>
    <t>Accident Cause</t>
  </si>
  <si>
    <t>Engineers On Duty</t>
  </si>
  <si>
    <t>Firemen On Duty</t>
  </si>
  <si>
    <t>Conductors On Duty</t>
  </si>
  <si>
    <t>Brakemen On Duty</t>
  </si>
  <si>
    <t>Hours Engineers On Duty</t>
  </si>
  <si>
    <t>Minutes Engineers On Duty</t>
  </si>
  <si>
    <t>Hours Conductors On Duty</t>
  </si>
  <si>
    <t>Minutes Conductors On Duty</t>
  </si>
  <si>
    <t>Railroad Employees Killed</t>
  </si>
  <si>
    <t>Railroad Employees Injured</t>
  </si>
  <si>
    <t>Passengers Killed</t>
  </si>
  <si>
    <t>Passengers Injured</t>
  </si>
  <si>
    <t>Others Killed</t>
  </si>
  <si>
    <t>Others Injured</t>
  </si>
  <si>
    <t>Reporting Railroad Fatalities for 55a</t>
  </si>
  <si>
    <t>Reporting Railroad Injuries for 55a</t>
  </si>
  <si>
    <t>Total Persons Killed</t>
  </si>
  <si>
    <t>Total Persons Injured</t>
  </si>
  <si>
    <t>Total Killed Form 54</t>
  </si>
  <si>
    <t>Total Injured Form 54</t>
  </si>
  <si>
    <t>Special Study 1</t>
  </si>
  <si>
    <t>Special Study 2</t>
  </si>
  <si>
    <t>Latitude</t>
  </si>
  <si>
    <t>Longitude</t>
  </si>
  <si>
    <t>Narrative</t>
  </si>
  <si>
    <t>Joint Track Type</t>
  </si>
  <si>
    <t>Joint Track Class</t>
  </si>
  <si>
    <t>Class Code</t>
  </si>
  <si>
    <t>Class</t>
  </si>
  <si>
    <t>Joint CD</t>
  </si>
  <si>
    <t>Incident Key</t>
  </si>
  <si>
    <t>Report Key</t>
  </si>
  <si>
    <t>Reporting Railroad Class</t>
  </si>
  <si>
    <t>Reporting Railroad SMT Grouping</t>
  </si>
  <si>
    <t>Reporting Parent Railroad Code</t>
  </si>
  <si>
    <t>Reporting Parent Railroad Name</t>
  </si>
  <si>
    <t>Reporting Railroad Holding Company</t>
  </si>
  <si>
    <t>Reporting Railroad Individual Class</t>
  </si>
  <si>
    <t>Reporting Railroad Passenger</t>
  </si>
  <si>
    <t>Reporting Railroad Commuter</t>
  </si>
  <si>
    <t>Reporting Railroad Switching Terminal</t>
  </si>
  <si>
    <t>Reporting Railroad Tourist</t>
  </si>
  <si>
    <t>Reporting Railroad Freight</t>
  </si>
  <si>
    <t>Reporting Railroad Short Line</t>
  </si>
  <si>
    <t>Location</t>
  </si>
  <si>
    <t>Column</t>
  </si>
  <si>
    <t>Important or Not?</t>
  </si>
  <si>
    <t>Explanation</t>
  </si>
  <si>
    <t>Not important or with duplicated information</t>
  </si>
  <si>
    <t>Abreviation of railroad name</t>
  </si>
  <si>
    <t>Railroad who reported the accident, use this column to connect with the operational data</t>
  </si>
  <si>
    <t>Year when the accident occurred</t>
  </si>
  <si>
    <t>It's a kind of code. Each single accident has a different accident number, it works as an ID and we can count based on that removing duplicities</t>
  </si>
  <si>
    <t>For each single accident, the railroad reporting needs to open the Form 54, explaining for FRA the details about the accident</t>
  </si>
  <si>
    <t>Reporting year</t>
  </si>
  <si>
    <t>It's a good column to understand sazonalities and which period of the year we have more accidents</t>
  </si>
  <si>
    <t>Use in case of we have one or more railroads involved, but working just with the one which has reported we should be fine</t>
  </si>
  <si>
    <t>It's a good column to understand sazonalities and which period of the month we have more accidents</t>
  </si>
  <si>
    <t>Sumarized date</t>
  </si>
  <si>
    <t>It's a good column to understand sazonalities and which period of the day we have more accidents</t>
  </si>
  <si>
    <t>It's an abreviation that we can cross with FRA dictionary to understand better the incident</t>
  </si>
  <si>
    <t>Important to classify each accident by type (derailment, collision with trains, highway crossing…)</t>
  </si>
  <si>
    <t>Quantification of numbers of railcars with hazardous materials that were involved in the accident</t>
  </si>
  <si>
    <t>Quantification of numbers of railcars with hazardous materials that were derailed in the accident</t>
  </si>
  <si>
    <t>Quantification of numbers of railcars with hazardous materials that were released in the accident</t>
  </si>
  <si>
    <t>Good to study trends for locations</t>
  </si>
  <si>
    <t>Good to understand human factors</t>
  </si>
  <si>
    <t>Good to understand dilation in the track or human factors</t>
  </si>
  <si>
    <t>It's the information that we can use to divide between accident in yards or in the mainline</t>
  </si>
  <si>
    <t>Here is possible to separate operation in freight or passenger trains</t>
  </si>
  <si>
    <t>Good to understand to measure the impact of speed in number of cars derailed (sum)</t>
  </si>
  <si>
    <t>Good to compare with the previous field to find overspeed</t>
  </si>
  <si>
    <t>Useful information to understand the impact of the position in the derailment (if you derail your first railcar, the impact will be higher than derailing the last one)</t>
  </si>
  <si>
    <t>Good to understand alcohol and drugs effects during the journey (possible to join in one column alcohol and drugs)</t>
  </si>
  <si>
    <t>We can filter here in 0 (freight trains) or more than zero (commuter rail) to separate the operation</t>
  </si>
  <si>
    <t>Number of locomotives involved (we can sum Head End, Mid Train Manual, Mid Train Remote, Rear End Manual, Rear End Remote)</t>
  </si>
  <si>
    <t>Number of locomotives derailed (we can sum Head End, Mid Train Manual, Mid Train Remote, Rear End Manual, Rear End Remote)</t>
  </si>
  <si>
    <t>Number of railcars involved (we can sum loaded freigth, loaded passengers, empty freight, empty passengers and cabooses)</t>
  </si>
  <si>
    <t>Number of railcars involved (we can sum loaded freigth, loaded passengers, empty freight, empty passengers and cabooses), filtering 0 for freight and not zero for passenger trains</t>
  </si>
  <si>
    <t>Number of railcars derailed (we can sum loaded freigth, loaded passengers, empty freight, empty passengers and cabooses), filtering 0 for freight and not zero for passenger trains</t>
  </si>
  <si>
    <t>Number of railcars derailed (we can sum loaded freigth, loaded passengers, empty freight, empty passengers and cabooses)</t>
  </si>
  <si>
    <t>The first cause, as we had talk about</t>
  </si>
  <si>
    <t>Good to understand some trends related to journey work</t>
  </si>
  <si>
    <t>Sensitive information, we can group as injuries or deaths in just one column</t>
  </si>
  <si>
    <t>Possible to create a heat map in mathplotlib</t>
  </si>
  <si>
    <t>It's the field where we can find the description of all the accidents, if we need to understand better something in specific cases</t>
  </si>
  <si>
    <t>Class I or Shortlines (II and III)</t>
  </si>
  <si>
    <t>Possible to create a heat map in mathplotlib (Latitude and Longitude grouped here)</t>
  </si>
  <si>
    <t>Month</t>
  </si>
  <si>
    <t>Operation Month</t>
  </si>
  <si>
    <t>FRA Region</t>
  </si>
  <si>
    <t>FRA Safety Management Team</t>
  </si>
  <si>
    <t>Holding Company</t>
  </si>
  <si>
    <t>Parent Railroad</t>
  </si>
  <si>
    <t>Railroad</t>
  </si>
  <si>
    <t>Shortline or Class I</t>
  </si>
  <si>
    <t>Railroad Class</t>
  </si>
  <si>
    <t>Adjusted Class</t>
  </si>
  <si>
    <t>Period</t>
  </si>
  <si>
    <t>Railroad Concat</t>
  </si>
  <si>
    <t>Railroadcode</t>
  </si>
  <si>
    <t>Railroadname</t>
  </si>
  <si>
    <t>reporting_railroad_class</t>
  </si>
  <si>
    <t>Employee Hours Worked</t>
  </si>
  <si>
    <t>Number of Passengers Transported</t>
  </si>
  <si>
    <t>Passenger Miles</t>
  </si>
  <si>
    <t>Reports</t>
  </si>
  <si>
    <t>Total Train Miles</t>
  </si>
  <si>
    <t>Yard Switching Miles</t>
  </si>
  <si>
    <t>Railroad who operated the specific volume, use this column to connect with the accident data</t>
  </si>
  <si>
    <t>If not possible to cross Railroad, try this column</t>
  </si>
  <si>
    <t>Good to understand volume in work hours</t>
  </si>
  <si>
    <t>Filter here 0 for freight companies or more than zero for commuter rails</t>
  </si>
  <si>
    <t>Miles operated on the mainline</t>
  </si>
  <si>
    <t>Miles operated inside 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</si>
</sst>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9D2E-0692-4490-81AD-1B1DA5970AD5}">
  <dimension ref="A1:C156"/>
  <sheetViews>
    <sheetView workbookViewId="0">
      <selection activeCell="C3" sqref="C3"/>
    </sheetView>
  </sheetViews>
  <sheetFormatPr defaultRowHeight="14.4" x14ac:dyDescent="0.3"/>
  <cols>
    <col min="1" max="1" width="32.88671875" bestFit="1" customWidth="1"/>
    <col min="2" max="2" width="36.6640625" bestFit="1" customWidth="1"/>
    <col min="3" max="3" width="10.21875" bestFit="1" customWidth="1"/>
  </cols>
  <sheetData>
    <row r="1" spans="1:3" x14ac:dyDescent="0.3">
      <c r="A1" t="s">
        <v>155</v>
      </c>
      <c r="B1" t="s">
        <v>156</v>
      </c>
      <c r="C1" t="s">
        <v>157</v>
      </c>
    </row>
    <row r="2" spans="1:3" x14ac:dyDescent="0.3">
      <c r="A2" t="s">
        <v>0</v>
      </c>
      <c r="B2" t="s">
        <v>158</v>
      </c>
      <c r="C2" t="s">
        <v>159</v>
      </c>
    </row>
    <row r="3" spans="1:3" x14ac:dyDescent="0.3">
      <c r="A3" t="s">
        <v>1</v>
      </c>
      <c r="C3" t="s">
        <v>160</v>
      </c>
    </row>
    <row r="4" spans="1:3" x14ac:dyDescent="0.3">
      <c r="A4" t="s">
        <v>2</v>
      </c>
      <c r="B4" t="s">
        <v>158</v>
      </c>
      <c r="C4" t="s">
        <v>164</v>
      </c>
    </row>
    <row r="5" spans="1:3" x14ac:dyDescent="0.3">
      <c r="A5" t="s">
        <v>3</v>
      </c>
      <c r="C5" t="s">
        <v>162</v>
      </c>
    </row>
    <row r="6" spans="1:3" x14ac:dyDescent="0.3">
      <c r="A6" t="s">
        <v>4</v>
      </c>
      <c r="B6" t="s">
        <v>158</v>
      </c>
      <c r="C6" t="s">
        <v>163</v>
      </c>
    </row>
    <row r="7" spans="1:3" x14ac:dyDescent="0.3">
      <c r="A7" t="s">
        <v>5</v>
      </c>
      <c r="C7" t="s">
        <v>161</v>
      </c>
    </row>
    <row r="8" spans="1:3" x14ac:dyDescent="0.3">
      <c r="A8" t="s">
        <v>6</v>
      </c>
      <c r="C8" t="s">
        <v>165</v>
      </c>
    </row>
    <row r="9" spans="1:3" x14ac:dyDescent="0.3">
      <c r="A9" t="s">
        <v>7</v>
      </c>
      <c r="B9" t="s">
        <v>158</v>
      </c>
      <c r="C9" t="s">
        <v>166</v>
      </c>
    </row>
    <row r="10" spans="1:3" x14ac:dyDescent="0.3">
      <c r="A10" t="s">
        <v>8</v>
      </c>
      <c r="B10" t="s">
        <v>158</v>
      </c>
      <c r="C10" t="s">
        <v>166</v>
      </c>
    </row>
    <row r="11" spans="1:3" x14ac:dyDescent="0.3">
      <c r="A11" t="s">
        <v>9</v>
      </c>
      <c r="B11" t="s">
        <v>158</v>
      </c>
      <c r="C11" t="s">
        <v>166</v>
      </c>
    </row>
    <row r="12" spans="1:3" x14ac:dyDescent="0.3">
      <c r="A12" t="s">
        <v>10</v>
      </c>
      <c r="B12" t="s">
        <v>158</v>
      </c>
      <c r="C12" t="s">
        <v>166</v>
      </c>
    </row>
    <row r="13" spans="1:3" x14ac:dyDescent="0.3">
      <c r="A13" t="s">
        <v>11</v>
      </c>
      <c r="B13" t="s">
        <v>158</v>
      </c>
      <c r="C13" t="s">
        <v>166</v>
      </c>
    </row>
    <row r="14" spans="1:3" x14ac:dyDescent="0.3">
      <c r="A14" t="s">
        <v>12</v>
      </c>
      <c r="B14" t="s">
        <v>158</v>
      </c>
      <c r="C14" t="s">
        <v>166</v>
      </c>
    </row>
    <row r="15" spans="1:3" x14ac:dyDescent="0.3">
      <c r="A15" t="s">
        <v>13</v>
      </c>
      <c r="B15" t="s">
        <v>158</v>
      </c>
      <c r="C15" t="s">
        <v>166</v>
      </c>
    </row>
    <row r="16" spans="1:3" x14ac:dyDescent="0.3">
      <c r="A16" t="s">
        <v>14</v>
      </c>
      <c r="B16" t="s">
        <v>158</v>
      </c>
      <c r="C16" t="s">
        <v>166</v>
      </c>
    </row>
    <row r="17" spans="1:3" x14ac:dyDescent="0.3">
      <c r="A17" t="s">
        <v>15</v>
      </c>
      <c r="B17" t="s">
        <v>158</v>
      </c>
      <c r="C17" t="s">
        <v>166</v>
      </c>
    </row>
    <row r="18" spans="1:3" x14ac:dyDescent="0.3">
      <c r="A18" t="s">
        <v>16</v>
      </c>
      <c r="B18" t="s">
        <v>158</v>
      </c>
      <c r="C18" t="s">
        <v>166</v>
      </c>
    </row>
    <row r="19" spans="1:3" x14ac:dyDescent="0.3">
      <c r="A19" t="s">
        <v>17</v>
      </c>
      <c r="B19" t="s">
        <v>158</v>
      </c>
      <c r="C19" t="str">
        <f t="shared" ref="C3:C66" si="0">A19</f>
        <v>Grade Crossing ID</v>
      </c>
    </row>
    <row r="20" spans="1:3" x14ac:dyDescent="0.3">
      <c r="A20" t="s">
        <v>18</v>
      </c>
      <c r="C20" t="s">
        <v>167</v>
      </c>
    </row>
    <row r="21" spans="1:3" x14ac:dyDescent="0.3">
      <c r="A21" t="s">
        <v>19</v>
      </c>
      <c r="C21" t="s">
        <v>168</v>
      </c>
    </row>
    <row r="22" spans="1:3" x14ac:dyDescent="0.3">
      <c r="A22" t="s">
        <v>20</v>
      </c>
      <c r="C22" t="s">
        <v>169</v>
      </c>
    </row>
    <row r="23" spans="1:3" x14ac:dyDescent="0.3">
      <c r="A23" t="s">
        <v>21</v>
      </c>
      <c r="B23" t="s">
        <v>158</v>
      </c>
      <c r="C23" t="s">
        <v>170</v>
      </c>
    </row>
    <row r="24" spans="1:3" x14ac:dyDescent="0.3">
      <c r="A24" t="s">
        <v>22</v>
      </c>
      <c r="C24" t="s">
        <v>171</v>
      </c>
    </row>
    <row r="25" spans="1:3" x14ac:dyDescent="0.3">
      <c r="A25" t="s">
        <v>23</v>
      </c>
      <c r="C25" t="s">
        <v>172</v>
      </c>
    </row>
    <row r="26" spans="1:3" x14ac:dyDescent="0.3">
      <c r="A26" t="s">
        <v>24</v>
      </c>
      <c r="C26" t="s">
        <v>173</v>
      </c>
    </row>
    <row r="27" spans="1:3" x14ac:dyDescent="0.3">
      <c r="A27" t="s">
        <v>25</v>
      </c>
      <c r="C27" t="s">
        <v>174</v>
      </c>
    </row>
    <row r="28" spans="1:3" x14ac:dyDescent="0.3">
      <c r="A28" t="s">
        <v>26</v>
      </c>
      <c r="B28" t="s">
        <v>158</v>
      </c>
      <c r="C28" t="str">
        <f t="shared" si="0"/>
        <v>Persons Evacuated</v>
      </c>
    </row>
    <row r="29" spans="1:3" x14ac:dyDescent="0.3">
      <c r="A29" t="s">
        <v>27</v>
      </c>
      <c r="B29" t="s">
        <v>158</v>
      </c>
      <c r="C29" t="str">
        <f t="shared" si="0"/>
        <v>Subdivision</v>
      </c>
    </row>
    <row r="30" spans="1:3" x14ac:dyDescent="0.3">
      <c r="A30" t="s">
        <v>28</v>
      </c>
      <c r="B30" t="s">
        <v>158</v>
      </c>
      <c r="C30" t="str">
        <f t="shared" si="0"/>
        <v>Division Code</v>
      </c>
    </row>
    <row r="31" spans="1:3" x14ac:dyDescent="0.3">
      <c r="A31" t="s">
        <v>29</v>
      </c>
      <c r="B31" t="s">
        <v>158</v>
      </c>
      <c r="C31" t="str">
        <f t="shared" si="0"/>
        <v>Division</v>
      </c>
    </row>
    <row r="32" spans="1:3" x14ac:dyDescent="0.3">
      <c r="A32" t="s">
        <v>30</v>
      </c>
      <c r="B32" t="s">
        <v>158</v>
      </c>
      <c r="C32" t="str">
        <f t="shared" si="0"/>
        <v>Station</v>
      </c>
    </row>
    <row r="33" spans="1:3" x14ac:dyDescent="0.3">
      <c r="A33" t="s">
        <v>31</v>
      </c>
      <c r="B33" t="s">
        <v>158</v>
      </c>
      <c r="C33" t="str">
        <f t="shared" si="0"/>
        <v>Milepost</v>
      </c>
    </row>
    <row r="34" spans="1:3" x14ac:dyDescent="0.3">
      <c r="A34" t="s">
        <v>32</v>
      </c>
      <c r="B34" t="s">
        <v>158</v>
      </c>
      <c r="C34" t="str">
        <f t="shared" si="0"/>
        <v>State Code</v>
      </c>
    </row>
    <row r="35" spans="1:3" x14ac:dyDescent="0.3">
      <c r="A35" t="s">
        <v>33</v>
      </c>
      <c r="B35" t="s">
        <v>158</v>
      </c>
      <c r="C35" t="str">
        <f t="shared" si="0"/>
        <v>State Abbreviation</v>
      </c>
    </row>
    <row r="36" spans="1:3" x14ac:dyDescent="0.3">
      <c r="A36" t="s">
        <v>34</v>
      </c>
      <c r="C36" t="s">
        <v>175</v>
      </c>
    </row>
    <row r="37" spans="1:3" x14ac:dyDescent="0.3">
      <c r="A37" t="s">
        <v>35</v>
      </c>
      <c r="B37" t="s">
        <v>158</v>
      </c>
      <c r="C37" t="str">
        <f t="shared" si="0"/>
        <v>County Code</v>
      </c>
    </row>
    <row r="38" spans="1:3" x14ac:dyDescent="0.3">
      <c r="A38" t="s">
        <v>36</v>
      </c>
      <c r="B38" t="s">
        <v>158</v>
      </c>
      <c r="C38" t="str">
        <f t="shared" si="0"/>
        <v>County Name</v>
      </c>
    </row>
    <row r="39" spans="1:3" x14ac:dyDescent="0.3">
      <c r="A39" t="s">
        <v>37</v>
      </c>
      <c r="B39" t="s">
        <v>158</v>
      </c>
      <c r="C39" t="str">
        <f t="shared" si="0"/>
        <v>District</v>
      </c>
    </row>
    <row r="40" spans="1:3" x14ac:dyDescent="0.3">
      <c r="A40" t="s">
        <v>38</v>
      </c>
      <c r="C40" t="s">
        <v>177</v>
      </c>
    </row>
    <row r="41" spans="1:3" x14ac:dyDescent="0.3">
      <c r="A41" t="s">
        <v>39</v>
      </c>
      <c r="B41" t="s">
        <v>158</v>
      </c>
      <c r="C41" t="str">
        <f t="shared" si="0"/>
        <v>Visibility Code</v>
      </c>
    </row>
    <row r="42" spans="1:3" x14ac:dyDescent="0.3">
      <c r="A42" t="s">
        <v>40</v>
      </c>
      <c r="C42" t="s">
        <v>176</v>
      </c>
    </row>
    <row r="43" spans="1:3" x14ac:dyDescent="0.3">
      <c r="A43" t="s">
        <v>41</v>
      </c>
      <c r="B43" t="s">
        <v>158</v>
      </c>
      <c r="C43" t="str">
        <f t="shared" si="0"/>
        <v>Weather Condition Code</v>
      </c>
    </row>
    <row r="44" spans="1:3" x14ac:dyDescent="0.3">
      <c r="A44" t="s">
        <v>42</v>
      </c>
      <c r="C44" t="s">
        <v>176</v>
      </c>
    </row>
    <row r="45" spans="1:3" x14ac:dyDescent="0.3">
      <c r="A45" t="s">
        <v>43</v>
      </c>
      <c r="B45" t="s">
        <v>158</v>
      </c>
      <c r="C45" t="str">
        <f t="shared" si="0"/>
        <v>Track Type Code</v>
      </c>
    </row>
    <row r="46" spans="1:3" x14ac:dyDescent="0.3">
      <c r="A46" t="s">
        <v>44</v>
      </c>
      <c r="C46" t="s">
        <v>178</v>
      </c>
    </row>
    <row r="47" spans="1:3" x14ac:dyDescent="0.3">
      <c r="A47" t="s">
        <v>45</v>
      </c>
      <c r="B47" t="s">
        <v>158</v>
      </c>
      <c r="C47" t="str">
        <f t="shared" si="0"/>
        <v>Track Name</v>
      </c>
    </row>
    <row r="48" spans="1:3" x14ac:dyDescent="0.3">
      <c r="A48" t="s">
        <v>46</v>
      </c>
      <c r="B48" t="s">
        <v>158</v>
      </c>
      <c r="C48" t="str">
        <f t="shared" si="0"/>
        <v>Track Class</v>
      </c>
    </row>
    <row r="49" spans="1:3" x14ac:dyDescent="0.3">
      <c r="A49" t="s">
        <v>47</v>
      </c>
      <c r="B49" t="s">
        <v>158</v>
      </c>
      <c r="C49" t="str">
        <f t="shared" si="0"/>
        <v>Track Density</v>
      </c>
    </row>
    <row r="50" spans="1:3" x14ac:dyDescent="0.3">
      <c r="A50" t="s">
        <v>48</v>
      </c>
      <c r="B50" t="s">
        <v>158</v>
      </c>
      <c r="C50" t="str">
        <f t="shared" si="0"/>
        <v>Train Direction Code</v>
      </c>
    </row>
    <row r="51" spans="1:3" x14ac:dyDescent="0.3">
      <c r="A51" t="s">
        <v>49</v>
      </c>
      <c r="B51" t="s">
        <v>158</v>
      </c>
      <c r="C51" t="str">
        <f t="shared" si="0"/>
        <v>Train Direction</v>
      </c>
    </row>
    <row r="52" spans="1:3" x14ac:dyDescent="0.3">
      <c r="A52" t="s">
        <v>50</v>
      </c>
      <c r="B52" t="s">
        <v>158</v>
      </c>
      <c r="C52" t="str">
        <f t="shared" si="0"/>
        <v>Equipment Type Code</v>
      </c>
    </row>
    <row r="53" spans="1:3" x14ac:dyDescent="0.3">
      <c r="A53" t="s">
        <v>51</v>
      </c>
      <c r="C53" t="s">
        <v>179</v>
      </c>
    </row>
    <row r="54" spans="1:3" x14ac:dyDescent="0.3">
      <c r="A54" t="s">
        <v>52</v>
      </c>
      <c r="B54" t="s">
        <v>158</v>
      </c>
      <c r="C54" t="str">
        <f t="shared" si="0"/>
        <v>Equipment Attended</v>
      </c>
    </row>
    <row r="55" spans="1:3" x14ac:dyDescent="0.3">
      <c r="A55" t="s">
        <v>53</v>
      </c>
      <c r="B55" t="s">
        <v>158</v>
      </c>
      <c r="C55" t="str">
        <f t="shared" si="0"/>
        <v>Train Number</v>
      </c>
    </row>
    <row r="56" spans="1:3" x14ac:dyDescent="0.3">
      <c r="A56" t="s">
        <v>54</v>
      </c>
      <c r="B56" t="s">
        <v>158</v>
      </c>
      <c r="C56" t="str">
        <f t="shared" si="0"/>
        <v>Train Speed</v>
      </c>
    </row>
    <row r="57" spans="1:3" x14ac:dyDescent="0.3">
      <c r="A57" t="s">
        <v>55</v>
      </c>
      <c r="C57" t="s">
        <v>180</v>
      </c>
    </row>
    <row r="58" spans="1:3" x14ac:dyDescent="0.3">
      <c r="A58" t="s">
        <v>56</v>
      </c>
      <c r="C58" t="s">
        <v>181</v>
      </c>
    </row>
    <row r="59" spans="1:3" x14ac:dyDescent="0.3">
      <c r="A59" t="s">
        <v>57</v>
      </c>
      <c r="B59" t="s">
        <v>158</v>
      </c>
      <c r="C59" t="str">
        <f t="shared" si="0"/>
        <v>Gross Tonnage</v>
      </c>
    </row>
    <row r="60" spans="1:3" x14ac:dyDescent="0.3">
      <c r="A60" t="s">
        <v>58</v>
      </c>
      <c r="B60" t="s">
        <v>158</v>
      </c>
      <c r="C60" t="str">
        <f t="shared" si="0"/>
        <v>Signalization Code</v>
      </c>
    </row>
    <row r="61" spans="1:3" x14ac:dyDescent="0.3">
      <c r="A61" t="s">
        <v>59</v>
      </c>
      <c r="B61" t="s">
        <v>158</v>
      </c>
      <c r="C61" t="str">
        <f t="shared" si="0"/>
        <v>Signalization</v>
      </c>
    </row>
    <row r="62" spans="1:3" x14ac:dyDescent="0.3">
      <c r="A62" t="s">
        <v>60</v>
      </c>
      <c r="B62" t="s">
        <v>158</v>
      </c>
      <c r="C62" t="str">
        <f t="shared" si="0"/>
        <v>Method of Operation Code</v>
      </c>
    </row>
    <row r="63" spans="1:3" x14ac:dyDescent="0.3">
      <c r="A63" t="s">
        <v>61</v>
      </c>
      <c r="B63" t="s">
        <v>158</v>
      </c>
      <c r="C63" t="str">
        <f t="shared" si="0"/>
        <v>Method of Operation</v>
      </c>
    </row>
    <row r="64" spans="1:3" x14ac:dyDescent="0.3">
      <c r="A64" t="s">
        <v>62</v>
      </c>
      <c r="B64" t="s">
        <v>158</v>
      </c>
      <c r="C64" t="str">
        <f t="shared" si="0"/>
        <v>Adjunct Code 1</v>
      </c>
    </row>
    <row r="65" spans="1:3" x14ac:dyDescent="0.3">
      <c r="A65" t="s">
        <v>63</v>
      </c>
      <c r="B65" t="s">
        <v>158</v>
      </c>
      <c r="C65" t="str">
        <f t="shared" si="0"/>
        <v>Adjunct Name 1</v>
      </c>
    </row>
    <row r="66" spans="1:3" x14ac:dyDescent="0.3">
      <c r="A66" t="s">
        <v>64</v>
      </c>
      <c r="B66" t="s">
        <v>158</v>
      </c>
      <c r="C66" t="str">
        <f t="shared" si="0"/>
        <v>Adjunct Code 2</v>
      </c>
    </row>
    <row r="67" spans="1:3" x14ac:dyDescent="0.3">
      <c r="A67" t="s">
        <v>65</v>
      </c>
      <c r="B67" t="s">
        <v>158</v>
      </c>
      <c r="C67" t="str">
        <f t="shared" ref="C67:C130" si="1">A67</f>
        <v>Adjunct Name 2</v>
      </c>
    </row>
    <row r="68" spans="1:3" x14ac:dyDescent="0.3">
      <c r="A68" t="s">
        <v>66</v>
      </c>
      <c r="B68" t="s">
        <v>158</v>
      </c>
      <c r="C68" t="str">
        <f t="shared" si="1"/>
        <v>Adjunct Code 3</v>
      </c>
    </row>
    <row r="69" spans="1:3" x14ac:dyDescent="0.3">
      <c r="A69" t="s">
        <v>67</v>
      </c>
      <c r="B69" t="s">
        <v>158</v>
      </c>
      <c r="C69" t="str">
        <f t="shared" si="1"/>
        <v>Adjunct Name 3</v>
      </c>
    </row>
    <row r="70" spans="1:3" x14ac:dyDescent="0.3">
      <c r="A70" t="s">
        <v>68</v>
      </c>
      <c r="B70" t="s">
        <v>158</v>
      </c>
      <c r="C70" t="str">
        <f t="shared" si="1"/>
        <v>Remote Control Locomotive Code</v>
      </c>
    </row>
    <row r="71" spans="1:3" x14ac:dyDescent="0.3">
      <c r="A71" t="s">
        <v>69</v>
      </c>
      <c r="B71" t="s">
        <v>158</v>
      </c>
      <c r="C71" t="str">
        <f t="shared" si="1"/>
        <v>Remote Control Locomotive</v>
      </c>
    </row>
    <row r="72" spans="1:3" x14ac:dyDescent="0.3">
      <c r="A72" t="s">
        <v>70</v>
      </c>
      <c r="B72" t="s">
        <v>158</v>
      </c>
      <c r="C72" t="str">
        <f t="shared" si="1"/>
        <v>First Car Initials</v>
      </c>
    </row>
    <row r="73" spans="1:3" x14ac:dyDescent="0.3">
      <c r="A73" t="s">
        <v>71</v>
      </c>
      <c r="B73" t="s">
        <v>158</v>
      </c>
      <c r="C73" t="str">
        <f t="shared" si="1"/>
        <v>First Car Number</v>
      </c>
    </row>
    <row r="74" spans="1:3" x14ac:dyDescent="0.3">
      <c r="A74" t="s">
        <v>72</v>
      </c>
      <c r="B74" t="s">
        <v>158</v>
      </c>
      <c r="C74" t="str">
        <f t="shared" si="1"/>
        <v>First Car Position</v>
      </c>
    </row>
    <row r="75" spans="1:3" x14ac:dyDescent="0.3">
      <c r="A75" t="s">
        <v>73</v>
      </c>
      <c r="B75" t="s">
        <v>158</v>
      </c>
      <c r="C75" t="str">
        <f t="shared" si="1"/>
        <v>First Car Loaded</v>
      </c>
    </row>
    <row r="76" spans="1:3" x14ac:dyDescent="0.3">
      <c r="A76" t="s">
        <v>74</v>
      </c>
      <c r="B76" t="s">
        <v>158</v>
      </c>
      <c r="C76" t="str">
        <f t="shared" si="1"/>
        <v>Causing Car Initials</v>
      </c>
    </row>
    <row r="77" spans="1:3" x14ac:dyDescent="0.3">
      <c r="A77" t="s">
        <v>75</v>
      </c>
      <c r="B77" t="s">
        <v>158</v>
      </c>
      <c r="C77" t="str">
        <f t="shared" si="1"/>
        <v>Causing Car Number</v>
      </c>
    </row>
    <row r="78" spans="1:3" x14ac:dyDescent="0.3">
      <c r="A78" t="s">
        <v>76</v>
      </c>
      <c r="C78" t="s">
        <v>182</v>
      </c>
    </row>
    <row r="79" spans="1:3" x14ac:dyDescent="0.3">
      <c r="A79" t="s">
        <v>77</v>
      </c>
      <c r="B79" t="s">
        <v>158</v>
      </c>
      <c r="C79" t="str">
        <f t="shared" si="1"/>
        <v>Causing Car Loaded</v>
      </c>
    </row>
    <row r="80" spans="1:3" x14ac:dyDescent="0.3">
      <c r="A80" t="s">
        <v>78</v>
      </c>
      <c r="C80" t="s">
        <v>183</v>
      </c>
    </row>
    <row r="81" spans="1:3" x14ac:dyDescent="0.3">
      <c r="A81" t="s">
        <v>79</v>
      </c>
      <c r="C81" t="s">
        <v>183</v>
      </c>
    </row>
    <row r="82" spans="1:3" x14ac:dyDescent="0.3">
      <c r="A82" t="s">
        <v>80</v>
      </c>
      <c r="C82" t="s">
        <v>184</v>
      </c>
    </row>
    <row r="83" spans="1:3" x14ac:dyDescent="0.3">
      <c r="A83" t="s">
        <v>81</v>
      </c>
      <c r="C83" t="s">
        <v>185</v>
      </c>
    </row>
    <row r="84" spans="1:3" x14ac:dyDescent="0.3">
      <c r="A84" t="s">
        <v>82</v>
      </c>
      <c r="C84" t="s">
        <v>185</v>
      </c>
    </row>
    <row r="85" spans="1:3" x14ac:dyDescent="0.3">
      <c r="A85" t="s">
        <v>83</v>
      </c>
      <c r="C85" t="s">
        <v>185</v>
      </c>
    </row>
    <row r="86" spans="1:3" x14ac:dyDescent="0.3">
      <c r="A86" t="s">
        <v>84</v>
      </c>
      <c r="C86" t="s">
        <v>185</v>
      </c>
    </row>
    <row r="87" spans="1:3" x14ac:dyDescent="0.3">
      <c r="A87" t="s">
        <v>85</v>
      </c>
      <c r="C87" t="s">
        <v>185</v>
      </c>
    </row>
    <row r="88" spans="1:3" x14ac:dyDescent="0.3">
      <c r="A88" t="s">
        <v>86</v>
      </c>
      <c r="C88" t="s">
        <v>186</v>
      </c>
    </row>
    <row r="89" spans="1:3" x14ac:dyDescent="0.3">
      <c r="A89" t="s">
        <v>87</v>
      </c>
      <c r="C89" t="s">
        <v>186</v>
      </c>
    </row>
    <row r="90" spans="1:3" x14ac:dyDescent="0.3">
      <c r="A90" t="s">
        <v>88</v>
      </c>
      <c r="C90" t="s">
        <v>186</v>
      </c>
    </row>
    <row r="91" spans="1:3" x14ac:dyDescent="0.3">
      <c r="A91" t="s">
        <v>89</v>
      </c>
      <c r="C91" t="s">
        <v>186</v>
      </c>
    </row>
    <row r="92" spans="1:3" x14ac:dyDescent="0.3">
      <c r="A92" t="s">
        <v>90</v>
      </c>
      <c r="C92" t="s">
        <v>186</v>
      </c>
    </row>
    <row r="93" spans="1:3" x14ac:dyDescent="0.3">
      <c r="A93" t="s">
        <v>91</v>
      </c>
      <c r="C93" t="s">
        <v>187</v>
      </c>
    </row>
    <row r="94" spans="1:3" x14ac:dyDescent="0.3">
      <c r="A94" t="s">
        <v>92</v>
      </c>
      <c r="C94" t="s">
        <v>188</v>
      </c>
    </row>
    <row r="95" spans="1:3" x14ac:dyDescent="0.3">
      <c r="A95" t="s">
        <v>93</v>
      </c>
      <c r="C95" t="s">
        <v>187</v>
      </c>
    </row>
    <row r="96" spans="1:3" x14ac:dyDescent="0.3">
      <c r="A96" t="s">
        <v>94</v>
      </c>
      <c r="C96" t="s">
        <v>188</v>
      </c>
    </row>
    <row r="97" spans="1:3" x14ac:dyDescent="0.3">
      <c r="A97" t="s">
        <v>95</v>
      </c>
      <c r="C97" t="s">
        <v>188</v>
      </c>
    </row>
    <row r="98" spans="1:3" x14ac:dyDescent="0.3">
      <c r="A98" t="s">
        <v>96</v>
      </c>
      <c r="C98" t="s">
        <v>190</v>
      </c>
    </row>
    <row r="99" spans="1:3" x14ac:dyDescent="0.3">
      <c r="A99" t="s">
        <v>97</v>
      </c>
      <c r="C99" t="s">
        <v>189</v>
      </c>
    </row>
    <row r="100" spans="1:3" x14ac:dyDescent="0.3">
      <c r="A100" t="s">
        <v>98</v>
      </c>
      <c r="C100" t="s">
        <v>190</v>
      </c>
    </row>
    <row r="101" spans="1:3" x14ac:dyDescent="0.3">
      <c r="A101" t="s">
        <v>99</v>
      </c>
      <c r="C101" t="s">
        <v>189</v>
      </c>
    </row>
    <row r="102" spans="1:3" x14ac:dyDescent="0.3">
      <c r="A102" t="s">
        <v>100</v>
      </c>
      <c r="C102" t="s">
        <v>189</v>
      </c>
    </row>
    <row r="103" spans="1:3" x14ac:dyDescent="0.3">
      <c r="A103" t="s">
        <v>101</v>
      </c>
      <c r="B103" t="s">
        <v>158</v>
      </c>
      <c r="C103" t="str">
        <f t="shared" si="1"/>
        <v>Equipment Damage Cost</v>
      </c>
    </row>
    <row r="104" spans="1:3" x14ac:dyDescent="0.3">
      <c r="A104" t="s">
        <v>102</v>
      </c>
      <c r="B104" t="s">
        <v>158</v>
      </c>
      <c r="C104" t="str">
        <f t="shared" si="1"/>
        <v>Track Damage Cost</v>
      </c>
    </row>
    <row r="105" spans="1:3" x14ac:dyDescent="0.3">
      <c r="A105" t="s">
        <v>103</v>
      </c>
      <c r="C105" t="str">
        <f t="shared" si="1"/>
        <v>Total Damage Cost</v>
      </c>
    </row>
    <row r="106" spans="1:3" x14ac:dyDescent="0.3">
      <c r="A106" t="s">
        <v>104</v>
      </c>
      <c r="B106" t="s">
        <v>158</v>
      </c>
      <c r="C106" t="str">
        <f t="shared" si="1"/>
        <v>Primary Accident Cause Code</v>
      </c>
    </row>
    <row r="107" spans="1:3" x14ac:dyDescent="0.3">
      <c r="A107" t="s">
        <v>105</v>
      </c>
      <c r="B107" t="s">
        <v>158</v>
      </c>
      <c r="C107" t="str">
        <f t="shared" si="1"/>
        <v>Primary Accident Cause</v>
      </c>
    </row>
    <row r="108" spans="1:3" x14ac:dyDescent="0.3">
      <c r="A108" t="s">
        <v>106</v>
      </c>
      <c r="B108" t="s">
        <v>158</v>
      </c>
      <c r="C108" t="str">
        <f t="shared" si="1"/>
        <v>Contributing Accident Cause Code</v>
      </c>
    </row>
    <row r="109" spans="1:3" x14ac:dyDescent="0.3">
      <c r="A109" t="s">
        <v>107</v>
      </c>
      <c r="B109" t="s">
        <v>158</v>
      </c>
      <c r="C109" t="str">
        <f t="shared" si="1"/>
        <v>Contributing Accident Cause</v>
      </c>
    </row>
    <row r="110" spans="1:3" x14ac:dyDescent="0.3">
      <c r="A110" t="s">
        <v>108</v>
      </c>
      <c r="B110" t="s">
        <v>158</v>
      </c>
      <c r="C110" t="str">
        <f t="shared" si="1"/>
        <v>Accident Cause Code</v>
      </c>
    </row>
    <row r="111" spans="1:3" x14ac:dyDescent="0.3">
      <c r="A111" t="s">
        <v>109</v>
      </c>
      <c r="C111" t="s">
        <v>191</v>
      </c>
    </row>
    <row r="112" spans="1:3" x14ac:dyDescent="0.3">
      <c r="A112" t="s">
        <v>110</v>
      </c>
      <c r="B112" t="s">
        <v>158</v>
      </c>
      <c r="C112" t="str">
        <f t="shared" si="1"/>
        <v>Engineers On Duty</v>
      </c>
    </row>
    <row r="113" spans="1:3" x14ac:dyDescent="0.3">
      <c r="A113" t="s">
        <v>111</v>
      </c>
      <c r="B113" t="s">
        <v>158</v>
      </c>
      <c r="C113" t="str">
        <f t="shared" si="1"/>
        <v>Firemen On Duty</v>
      </c>
    </row>
    <row r="114" spans="1:3" x14ac:dyDescent="0.3">
      <c r="A114" t="s">
        <v>112</v>
      </c>
      <c r="B114" t="s">
        <v>158</v>
      </c>
      <c r="C114" t="str">
        <f t="shared" si="1"/>
        <v>Conductors On Duty</v>
      </c>
    </row>
    <row r="115" spans="1:3" x14ac:dyDescent="0.3">
      <c r="A115" t="s">
        <v>113</v>
      </c>
      <c r="B115" t="s">
        <v>158</v>
      </c>
      <c r="C115" t="str">
        <f t="shared" si="1"/>
        <v>Brakemen On Duty</v>
      </c>
    </row>
    <row r="116" spans="1:3" x14ac:dyDescent="0.3">
      <c r="A116" t="s">
        <v>114</v>
      </c>
      <c r="C116" t="s">
        <v>192</v>
      </c>
    </row>
    <row r="117" spans="1:3" x14ac:dyDescent="0.3">
      <c r="A117" t="s">
        <v>115</v>
      </c>
      <c r="C117" t="s">
        <v>192</v>
      </c>
    </row>
    <row r="118" spans="1:3" x14ac:dyDescent="0.3">
      <c r="A118" t="s">
        <v>116</v>
      </c>
      <c r="C118" t="s">
        <v>192</v>
      </c>
    </row>
    <row r="119" spans="1:3" x14ac:dyDescent="0.3">
      <c r="A119" t="s">
        <v>117</v>
      </c>
      <c r="C119" t="s">
        <v>192</v>
      </c>
    </row>
    <row r="120" spans="1:3" x14ac:dyDescent="0.3">
      <c r="A120" t="s">
        <v>118</v>
      </c>
      <c r="B120" t="s">
        <v>158</v>
      </c>
      <c r="C120" t="str">
        <f t="shared" si="1"/>
        <v>Railroad Employees Killed</v>
      </c>
    </row>
    <row r="121" spans="1:3" x14ac:dyDescent="0.3">
      <c r="A121" t="s">
        <v>119</v>
      </c>
      <c r="B121" t="s">
        <v>158</v>
      </c>
      <c r="C121" t="str">
        <f t="shared" si="1"/>
        <v>Railroad Employees Injured</v>
      </c>
    </row>
    <row r="122" spans="1:3" x14ac:dyDescent="0.3">
      <c r="A122" t="s">
        <v>120</v>
      </c>
      <c r="B122" t="s">
        <v>158</v>
      </c>
      <c r="C122" t="str">
        <f t="shared" si="1"/>
        <v>Passengers Killed</v>
      </c>
    </row>
    <row r="123" spans="1:3" x14ac:dyDescent="0.3">
      <c r="A123" t="s">
        <v>121</v>
      </c>
      <c r="B123" t="s">
        <v>158</v>
      </c>
      <c r="C123" t="str">
        <f t="shared" si="1"/>
        <v>Passengers Injured</v>
      </c>
    </row>
    <row r="124" spans="1:3" x14ac:dyDescent="0.3">
      <c r="A124" t="s">
        <v>122</v>
      </c>
      <c r="B124" t="s">
        <v>158</v>
      </c>
      <c r="C124" t="str">
        <f t="shared" si="1"/>
        <v>Others Killed</v>
      </c>
    </row>
    <row r="125" spans="1:3" x14ac:dyDescent="0.3">
      <c r="A125" t="s">
        <v>123</v>
      </c>
      <c r="B125" t="s">
        <v>158</v>
      </c>
      <c r="C125" t="str">
        <f t="shared" si="1"/>
        <v>Others Injured</v>
      </c>
    </row>
    <row r="126" spans="1:3" x14ac:dyDescent="0.3">
      <c r="A126" t="s">
        <v>124</v>
      </c>
      <c r="B126" t="s">
        <v>158</v>
      </c>
      <c r="C126" t="str">
        <f t="shared" si="1"/>
        <v>Reporting Railroad Fatalities for 55a</v>
      </c>
    </row>
    <row r="127" spans="1:3" x14ac:dyDescent="0.3">
      <c r="A127" t="s">
        <v>125</v>
      </c>
      <c r="B127" t="s">
        <v>158</v>
      </c>
      <c r="C127" t="str">
        <f t="shared" si="1"/>
        <v>Reporting Railroad Injuries for 55a</v>
      </c>
    </row>
    <row r="128" spans="1:3" x14ac:dyDescent="0.3">
      <c r="A128" t="s">
        <v>126</v>
      </c>
      <c r="C128" t="s">
        <v>193</v>
      </c>
    </row>
    <row r="129" spans="1:3" x14ac:dyDescent="0.3">
      <c r="A129" t="s">
        <v>127</v>
      </c>
      <c r="C129" t="s">
        <v>193</v>
      </c>
    </row>
    <row r="130" spans="1:3" x14ac:dyDescent="0.3">
      <c r="A130" t="s">
        <v>128</v>
      </c>
      <c r="B130" t="s">
        <v>158</v>
      </c>
      <c r="C130" t="str">
        <f t="shared" si="1"/>
        <v>Total Killed Form 54</v>
      </c>
    </row>
    <row r="131" spans="1:3" x14ac:dyDescent="0.3">
      <c r="A131" t="s">
        <v>129</v>
      </c>
      <c r="B131" t="s">
        <v>158</v>
      </c>
      <c r="C131" t="str">
        <f t="shared" ref="C131:C156" si="2">A131</f>
        <v>Total Injured Form 54</v>
      </c>
    </row>
    <row r="132" spans="1:3" x14ac:dyDescent="0.3">
      <c r="A132" t="s">
        <v>130</v>
      </c>
      <c r="B132" t="s">
        <v>158</v>
      </c>
      <c r="C132" t="str">
        <f t="shared" si="2"/>
        <v>Special Study 1</v>
      </c>
    </row>
    <row r="133" spans="1:3" x14ac:dyDescent="0.3">
      <c r="A133" t="s">
        <v>131</v>
      </c>
      <c r="B133" t="s">
        <v>158</v>
      </c>
      <c r="C133" t="str">
        <f t="shared" si="2"/>
        <v>Special Study 2</v>
      </c>
    </row>
    <row r="134" spans="1:3" x14ac:dyDescent="0.3">
      <c r="A134" t="s">
        <v>132</v>
      </c>
      <c r="C134" t="s">
        <v>194</v>
      </c>
    </row>
    <row r="135" spans="1:3" x14ac:dyDescent="0.3">
      <c r="A135" t="s">
        <v>133</v>
      </c>
      <c r="C135" t="s">
        <v>194</v>
      </c>
    </row>
    <row r="136" spans="1:3" x14ac:dyDescent="0.3">
      <c r="A136" t="s">
        <v>134</v>
      </c>
      <c r="C136" t="s">
        <v>195</v>
      </c>
    </row>
    <row r="137" spans="1:3" x14ac:dyDescent="0.3">
      <c r="A137" t="s">
        <v>135</v>
      </c>
      <c r="B137" t="s">
        <v>158</v>
      </c>
      <c r="C137" t="str">
        <f t="shared" si="2"/>
        <v>Joint Track Type</v>
      </c>
    </row>
    <row r="138" spans="1:3" x14ac:dyDescent="0.3">
      <c r="A138" t="s">
        <v>136</v>
      </c>
      <c r="B138" t="s">
        <v>158</v>
      </c>
      <c r="C138" t="str">
        <f t="shared" si="2"/>
        <v>Joint Track Class</v>
      </c>
    </row>
    <row r="139" spans="1:3" x14ac:dyDescent="0.3">
      <c r="A139" t="s">
        <v>137</v>
      </c>
      <c r="B139" t="s">
        <v>158</v>
      </c>
      <c r="C139" t="str">
        <f t="shared" si="2"/>
        <v>Class Code</v>
      </c>
    </row>
    <row r="140" spans="1:3" x14ac:dyDescent="0.3">
      <c r="A140" t="s">
        <v>138</v>
      </c>
      <c r="B140" t="s">
        <v>158</v>
      </c>
      <c r="C140" t="s">
        <v>196</v>
      </c>
    </row>
    <row r="141" spans="1:3" x14ac:dyDescent="0.3">
      <c r="A141" t="s">
        <v>139</v>
      </c>
      <c r="B141" t="s">
        <v>158</v>
      </c>
      <c r="C141" t="str">
        <f t="shared" si="2"/>
        <v>Joint CD</v>
      </c>
    </row>
    <row r="142" spans="1:3" x14ac:dyDescent="0.3">
      <c r="A142" t="s">
        <v>140</v>
      </c>
      <c r="B142" t="s">
        <v>158</v>
      </c>
      <c r="C142" t="str">
        <f t="shared" si="2"/>
        <v>Incident Key</v>
      </c>
    </row>
    <row r="143" spans="1:3" x14ac:dyDescent="0.3">
      <c r="A143" t="s">
        <v>141</v>
      </c>
      <c r="B143" t="s">
        <v>158</v>
      </c>
      <c r="C143" t="str">
        <f t="shared" si="2"/>
        <v>Report Key</v>
      </c>
    </row>
    <row r="144" spans="1:3" x14ac:dyDescent="0.3">
      <c r="A144" t="s">
        <v>142</v>
      </c>
      <c r="C144" t="s">
        <v>196</v>
      </c>
    </row>
    <row r="145" spans="1:3" x14ac:dyDescent="0.3">
      <c r="A145" t="s">
        <v>143</v>
      </c>
      <c r="B145" t="s">
        <v>158</v>
      </c>
      <c r="C145" t="str">
        <f t="shared" si="2"/>
        <v>Reporting Railroad SMT Grouping</v>
      </c>
    </row>
    <row r="146" spans="1:3" x14ac:dyDescent="0.3">
      <c r="A146" t="s">
        <v>144</v>
      </c>
      <c r="B146" t="s">
        <v>158</v>
      </c>
      <c r="C146" t="str">
        <f t="shared" si="2"/>
        <v>Reporting Parent Railroad Code</v>
      </c>
    </row>
    <row r="147" spans="1:3" x14ac:dyDescent="0.3">
      <c r="A147" t="s">
        <v>145</v>
      </c>
      <c r="B147" t="s">
        <v>158</v>
      </c>
      <c r="C147" t="str">
        <f t="shared" si="2"/>
        <v>Reporting Parent Railroad Name</v>
      </c>
    </row>
    <row r="148" spans="1:3" x14ac:dyDescent="0.3">
      <c r="A148" t="s">
        <v>146</v>
      </c>
      <c r="B148" t="s">
        <v>158</v>
      </c>
      <c r="C148" t="str">
        <f t="shared" si="2"/>
        <v>Reporting Railroad Holding Company</v>
      </c>
    </row>
    <row r="149" spans="1:3" x14ac:dyDescent="0.3">
      <c r="A149" t="s">
        <v>147</v>
      </c>
      <c r="B149" t="s">
        <v>158</v>
      </c>
      <c r="C149" t="str">
        <f t="shared" si="2"/>
        <v>Reporting Railroad Individual Class</v>
      </c>
    </row>
    <row r="150" spans="1:3" x14ac:dyDescent="0.3">
      <c r="A150" t="s">
        <v>148</v>
      </c>
      <c r="B150" t="s">
        <v>158</v>
      </c>
      <c r="C150" t="str">
        <f t="shared" si="2"/>
        <v>Reporting Railroad Passenger</v>
      </c>
    </row>
    <row r="151" spans="1:3" x14ac:dyDescent="0.3">
      <c r="A151" t="s">
        <v>149</v>
      </c>
      <c r="B151" t="s">
        <v>158</v>
      </c>
      <c r="C151" t="str">
        <f t="shared" si="2"/>
        <v>Reporting Railroad Commuter</v>
      </c>
    </row>
    <row r="152" spans="1:3" x14ac:dyDescent="0.3">
      <c r="A152" t="s">
        <v>150</v>
      </c>
      <c r="B152" t="s">
        <v>158</v>
      </c>
      <c r="C152" t="str">
        <f t="shared" si="2"/>
        <v>Reporting Railroad Switching Terminal</v>
      </c>
    </row>
    <row r="153" spans="1:3" x14ac:dyDescent="0.3">
      <c r="A153" t="s">
        <v>151</v>
      </c>
      <c r="B153" t="s">
        <v>158</v>
      </c>
      <c r="C153" t="str">
        <f t="shared" si="2"/>
        <v>Reporting Railroad Tourist</v>
      </c>
    </row>
    <row r="154" spans="1:3" x14ac:dyDescent="0.3">
      <c r="A154" t="s">
        <v>152</v>
      </c>
      <c r="B154" t="s">
        <v>158</v>
      </c>
      <c r="C154" t="str">
        <f t="shared" si="2"/>
        <v>Reporting Railroad Freight</v>
      </c>
    </row>
    <row r="155" spans="1:3" x14ac:dyDescent="0.3">
      <c r="A155" t="s">
        <v>153</v>
      </c>
      <c r="B155" t="s">
        <v>158</v>
      </c>
      <c r="C155" t="str">
        <f t="shared" si="2"/>
        <v>Reporting Railroad Short Line</v>
      </c>
    </row>
    <row r="156" spans="1:3" x14ac:dyDescent="0.3">
      <c r="A156" t="s">
        <v>154</v>
      </c>
      <c r="C156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FC34-ADB4-4C12-AB85-3D2FBC1B5F03}">
  <dimension ref="A1:C24"/>
  <sheetViews>
    <sheetView tabSelected="1" workbookViewId="0">
      <selection activeCell="C25" sqref="C25"/>
    </sheetView>
  </sheetViews>
  <sheetFormatPr defaultRowHeight="14.4" x14ac:dyDescent="0.3"/>
  <cols>
    <col min="1" max="1" width="29.6640625" bestFit="1" customWidth="1"/>
  </cols>
  <sheetData>
    <row r="1" spans="1:3" x14ac:dyDescent="0.3">
      <c r="A1" t="s">
        <v>155</v>
      </c>
      <c r="B1" t="s">
        <v>156</v>
      </c>
      <c r="C1" t="s">
        <v>157</v>
      </c>
    </row>
    <row r="2" spans="1:3" x14ac:dyDescent="0.3">
      <c r="A2" t="s">
        <v>198</v>
      </c>
      <c r="C2" t="s">
        <v>199</v>
      </c>
    </row>
    <row r="3" spans="1:3" x14ac:dyDescent="0.3">
      <c r="A3" t="s">
        <v>200</v>
      </c>
      <c r="B3" t="s">
        <v>158</v>
      </c>
      <c r="C3" t="s">
        <v>200</v>
      </c>
    </row>
    <row r="4" spans="1:3" x14ac:dyDescent="0.3">
      <c r="A4" t="s">
        <v>201</v>
      </c>
      <c r="B4" t="s">
        <v>158</v>
      </c>
      <c r="C4" t="s">
        <v>201</v>
      </c>
    </row>
    <row r="5" spans="1:3" x14ac:dyDescent="0.3">
      <c r="A5" t="s">
        <v>202</v>
      </c>
      <c r="B5" t="s">
        <v>158</v>
      </c>
      <c r="C5" t="s">
        <v>202</v>
      </c>
    </row>
    <row r="6" spans="1:3" x14ac:dyDescent="0.3">
      <c r="A6" t="s">
        <v>203</v>
      </c>
      <c r="B6" t="s">
        <v>158</v>
      </c>
      <c r="C6" t="s">
        <v>203</v>
      </c>
    </row>
    <row r="7" spans="1:3" x14ac:dyDescent="0.3">
      <c r="A7" t="s">
        <v>204</v>
      </c>
      <c r="C7" t="s">
        <v>219</v>
      </c>
    </row>
    <row r="8" spans="1:3" x14ac:dyDescent="0.3">
      <c r="A8" t="s">
        <v>205</v>
      </c>
      <c r="C8" t="s">
        <v>205</v>
      </c>
    </row>
    <row r="9" spans="1:3" x14ac:dyDescent="0.3">
      <c r="A9" t="s">
        <v>206</v>
      </c>
      <c r="C9" t="s">
        <v>205</v>
      </c>
    </row>
    <row r="10" spans="1:3" x14ac:dyDescent="0.3">
      <c r="A10" t="s">
        <v>207</v>
      </c>
      <c r="B10" t="s">
        <v>158</v>
      </c>
      <c r="C10" t="s">
        <v>207</v>
      </c>
    </row>
    <row r="11" spans="1:3" x14ac:dyDescent="0.3">
      <c r="A11" t="s">
        <v>2</v>
      </c>
      <c r="C11" t="s">
        <v>2</v>
      </c>
    </row>
    <row r="12" spans="1:3" x14ac:dyDescent="0.3">
      <c r="A12" t="s">
        <v>208</v>
      </c>
      <c r="B12" t="s">
        <v>158</v>
      </c>
      <c r="C12" t="s">
        <v>208</v>
      </c>
    </row>
    <row r="13" spans="1:3" x14ac:dyDescent="0.3">
      <c r="A13" t="s">
        <v>209</v>
      </c>
      <c r="C13" t="s">
        <v>220</v>
      </c>
    </row>
    <row r="14" spans="1:3" x14ac:dyDescent="0.3">
      <c r="A14" t="s">
        <v>210</v>
      </c>
      <c r="B14" t="s">
        <v>158</v>
      </c>
      <c r="C14" t="s">
        <v>210</v>
      </c>
    </row>
    <row r="15" spans="1:3" x14ac:dyDescent="0.3">
      <c r="A15" t="s">
        <v>211</v>
      </c>
      <c r="B15" t="s">
        <v>158</v>
      </c>
      <c r="C15" t="s">
        <v>211</v>
      </c>
    </row>
    <row r="16" spans="1:3" x14ac:dyDescent="0.3">
      <c r="A16" t="s">
        <v>144</v>
      </c>
      <c r="B16" t="s">
        <v>158</v>
      </c>
      <c r="C16" t="s">
        <v>144</v>
      </c>
    </row>
    <row r="17" spans="1:3" x14ac:dyDescent="0.3">
      <c r="A17" t="s">
        <v>145</v>
      </c>
      <c r="B17" t="s">
        <v>158</v>
      </c>
      <c r="C17" t="s">
        <v>145</v>
      </c>
    </row>
    <row r="18" spans="1:3" x14ac:dyDescent="0.3">
      <c r="A18" t="s">
        <v>212</v>
      </c>
      <c r="B18" t="s">
        <v>158</v>
      </c>
      <c r="C18" t="s">
        <v>212</v>
      </c>
    </row>
    <row r="19" spans="1:3" x14ac:dyDescent="0.3">
      <c r="A19" t="s">
        <v>213</v>
      </c>
      <c r="C19" t="s">
        <v>221</v>
      </c>
    </row>
    <row r="20" spans="1:3" x14ac:dyDescent="0.3">
      <c r="A20" t="s">
        <v>214</v>
      </c>
      <c r="C20" t="s">
        <v>222</v>
      </c>
    </row>
    <row r="21" spans="1:3" x14ac:dyDescent="0.3">
      <c r="A21" t="s">
        <v>215</v>
      </c>
      <c r="C21" t="s">
        <v>222</v>
      </c>
    </row>
    <row r="22" spans="1:3" x14ac:dyDescent="0.3">
      <c r="A22" t="s">
        <v>216</v>
      </c>
      <c r="B22" t="s">
        <v>158</v>
      </c>
      <c r="C22" t="s">
        <v>216</v>
      </c>
    </row>
    <row r="23" spans="1:3" x14ac:dyDescent="0.3">
      <c r="A23" t="s">
        <v>217</v>
      </c>
      <c r="C23" t="s">
        <v>223</v>
      </c>
    </row>
    <row r="24" spans="1:3" x14ac:dyDescent="0.3">
      <c r="A24" t="s">
        <v>218</v>
      </c>
      <c r="C2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Accidents Data</vt:lpstr>
      <vt:lpstr>Operational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Oliveira Filho, Aluisio F</dc:creator>
  <cp:lastModifiedBy>Aluisio Oliveira</cp:lastModifiedBy>
  <dcterms:created xsi:type="dcterms:W3CDTF">2026-10-09T06:12:45Z</dcterms:created>
  <dcterms:modified xsi:type="dcterms:W3CDTF">2026-10-09T06:42:43Z</dcterms:modified>
</cp:coreProperties>
</file>